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Building Costs" sheetId="2" state="visible" r:id="rId2"/>
    <sheet name="Income Analysis" sheetId="3" state="visible" r:id="rId3"/>
    <sheet name="Era Progression" sheetId="4" state="visible" r:id="rId4"/>
    <sheet name="What-If Tuning" sheetId="5" state="visible" r:id="rId5"/>
    <sheet name="Realistic Mod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</font>
    <font>
      <b val="1"/>
      <sz val="12"/>
    </font>
    <font>
      <b val="1"/>
      <color rgb="00FF0000"/>
      <sz val="14"/>
    </font>
    <font>
      <b val="1"/>
      <color rgb="00FF0000"/>
    </font>
    <font>
      <i val="1"/>
      <color rgb="00666666"/>
    </font>
    <font/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  <fill>
      <patternFill patternType="solid">
        <fgColor rgb="00D5A6D5"/>
        <bgColor rgb="00D5A6D5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0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1" pivotButton="0" quotePrefix="0" xfId="0"/>
    <xf numFmtId="0" fontId="9" fillId="7" borderId="1" pivotButton="0" quotePrefix="0" xfId="0"/>
    <xf numFmtId="0" fontId="9" fillId="4" borderId="1" pivotButton="0" quotePrefix="0" xfId="0"/>
    <xf numFmtId="0" fontId="9" fillId="5" borderId="1" pivotButton="0" quotePrefix="0" xfId="0"/>
    <xf numFmtId="0" fontId="9" fillId="6" borderId="1" pivotButton="0" quotePrefix="0" xfId="0"/>
    <xf numFmtId="0" fontId="9" fillId="0" borderId="2" pivotButton="0" quotePrefix="0" xfId="0"/>
    <xf numFmtId="0" fontId="6" fillId="0" borderId="2" pivotButton="0" quotePrefix="0" xfId="0"/>
    <xf numFmtId="0" fontId="4" fillId="0" borderId="2" pivotButton="0" quotePrefix="0" xfId="0"/>
    <xf numFmtId="0" fontId="7" fillId="0" borderId="2" pivotButton="0" quotePrefix="0" xfId="0"/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</cols>
  <sheetData>
    <row r="1">
      <c r="A1" s="1" t="inlineStr">
        <is>
          <t>CORE CONSTANTS</t>
        </is>
      </c>
    </row>
    <row r="2">
      <c r="A2" s="2" t="inlineStr">
        <is>
          <t>Tick Rate (ticks/sec)</t>
        </is>
      </c>
      <c r="B2" t="n">
        <v>60</v>
      </c>
    </row>
    <row r="3">
      <c r="A3" s="2" t="inlineStr">
        <is>
          <t>Cow Refresh Chance (1/N per tick)</t>
        </is>
      </c>
      <c r="B3" t="n">
        <v>500</v>
      </c>
    </row>
    <row r="4">
      <c r="A4" s="2" t="inlineStr">
        <is>
          <t>Cow MaxExhaust (typical)</t>
        </is>
      </c>
      <c r="B4" t="n">
        <v>27</v>
      </c>
    </row>
    <row r="5">
      <c r="A5" s="2" t="inlineStr">
        <is>
          <t>Preferred Food Milk Multiplier</t>
        </is>
      </c>
      <c r="B5" t="n">
        <v>3</v>
      </c>
    </row>
    <row r="6">
      <c r="A6" s="2" t="inlineStr">
        <is>
          <t>Non-Preferred Milk Multiplier</t>
        </is>
      </c>
      <c r="B6" t="n">
        <v>1</v>
      </c>
    </row>
    <row r="7">
      <c r="A7" s="2" t="inlineStr">
        <is>
          <t>Assistant Exhaust Per Click</t>
        </is>
      </c>
      <c r="B7" t="n">
        <v>5</v>
      </c>
    </row>
    <row r="8">
      <c r="A8" s="2" t="inlineStr">
        <is>
          <t>Normal Exhaust Per Click</t>
        </is>
      </c>
      <c r="B8" t="n">
        <v>1</v>
      </c>
    </row>
    <row r="11">
      <c r="A11" s="1" t="inlineStr">
        <is>
          <t>MILK PRODUCT VALUES</t>
        </is>
      </c>
    </row>
    <row r="12">
      <c r="A12" s="3" t="inlineStr">
        <is>
          <t>Food Type</t>
        </is>
      </c>
      <c r="B12" s="3" t="inlineStr">
        <is>
          <t>Milk Product</t>
        </is>
      </c>
      <c r="C12" s="3" t="inlineStr">
        <is>
          <t>Coins Per Unit</t>
        </is>
      </c>
    </row>
    <row r="13">
      <c r="A13" s="4" t="inlineStr">
        <is>
          <t>Grass (0)</t>
        </is>
      </c>
      <c r="B13" s="4" t="inlineStr">
        <is>
          <t>Milk</t>
        </is>
      </c>
      <c r="C13" s="4" t="n">
        <v>1</v>
      </c>
    </row>
    <row r="14">
      <c r="A14" s="4" t="inlineStr">
        <is>
          <t>Carrot (1)</t>
        </is>
      </c>
      <c r="B14" s="4" t="inlineStr">
        <is>
          <t>VitaminShake</t>
        </is>
      </c>
      <c r="C14" s="4" t="n">
        <v>5</v>
      </c>
    </row>
    <row r="15">
      <c r="A15" s="4" t="inlineStr">
        <is>
          <t>Apple (2)</t>
        </is>
      </c>
      <c r="B15" s="4" t="inlineStr">
        <is>
          <t>AppleYogurt</t>
        </is>
      </c>
      <c r="C15" s="4" t="n">
        <v>25</v>
      </c>
    </row>
    <row r="16">
      <c r="A16" s="4" t="inlineStr">
        <is>
          <t>Mushroom (3)</t>
        </is>
      </c>
      <c r="B16" s="4" t="inlineStr">
        <is>
          <t>PurplePotion</t>
        </is>
      </c>
      <c r="C16" s="4" t="n">
        <v>100</v>
      </c>
    </row>
    <row r="18">
      <c r="A18" s="1" t="inlineStr">
        <is>
          <t>ERA MULTIPLIERS</t>
        </is>
      </c>
    </row>
    <row r="19">
      <c r="A19" s="3" t="inlineStr">
        <is>
          <t>Grid Distance</t>
        </is>
      </c>
      <c r="B19" s="3" t="inlineStr">
        <is>
          <t>Era</t>
        </is>
      </c>
      <c r="C19" s="3" t="inlineStr">
        <is>
          <t>Era Multiplier</t>
        </is>
      </c>
    </row>
    <row r="20">
      <c r="A20" s="4" t="inlineStr">
        <is>
          <t>1-2</t>
        </is>
      </c>
      <c r="B20" s="4" t="inlineStr">
        <is>
          <t>Grass</t>
        </is>
      </c>
      <c r="C20" s="4" t="n">
        <v>1</v>
      </c>
    </row>
    <row r="21">
      <c r="A21" s="4" t="inlineStr">
        <is>
          <t>3</t>
        </is>
      </c>
      <c r="B21" s="4" t="inlineStr">
        <is>
          <t>Carrot</t>
        </is>
      </c>
      <c r="C21" s="4" t="n">
        <v>3</v>
      </c>
    </row>
    <row r="22">
      <c r="A22" s="4" t="inlineStr">
        <is>
          <t>4</t>
        </is>
      </c>
      <c r="B22" s="4" t="inlineStr">
        <is>
          <t>Apple</t>
        </is>
      </c>
      <c r="C22" s="4" t="n">
        <v>5</v>
      </c>
    </row>
    <row r="23">
      <c r="A23" s="4" t="inlineStr">
        <is>
          <t>5-6</t>
        </is>
      </c>
      <c r="B23" s="4" t="inlineStr">
        <is>
          <t>Mushroom</t>
        </is>
      </c>
      <c r="C23" s="4" t="n">
        <v>10</v>
      </c>
    </row>
    <row r="24">
      <c r="A24" s="4" t="inlineStr">
        <is>
          <t>7</t>
        </is>
      </c>
      <c r="B24" s="4" t="inlineStr">
        <is>
          <t>Mushroom (FS)</t>
        </is>
      </c>
      <c r="C24" s="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45" customWidth="1" min="4" max="4"/>
    <col width="10" customWidth="1" min="5" max="5"/>
    <col width="22" customWidth="1" min="6" max="6"/>
    <col width="10" customWidth="1" min="7" max="7"/>
  </cols>
  <sheetData>
    <row r="1">
      <c r="A1" s="1" t="inlineStr">
        <is>
          <t>BUILDING COSTS</t>
        </is>
      </c>
    </row>
    <row r="2">
      <c r="A2" s="5" t="inlineStr">
        <is>
          <t>Formula: gridDist × eraMultiplier × priceMultiplier × 10</t>
        </is>
      </c>
    </row>
    <row r="3">
      <c r="A3" s="3" t="inlineStr">
        <is>
          <t>Dist</t>
        </is>
      </c>
      <c r="B3" s="3" t="inlineStr">
        <is>
          <t>Era</t>
        </is>
      </c>
      <c r="C3" s="3" t="inlineStr">
        <is>
          <t>EraMult</t>
        </is>
      </c>
      <c r="D3" s="3" t="inlineStr">
        <is>
          <t>Type</t>
        </is>
      </c>
      <c r="E3" s="3" t="inlineStr">
        <is>
          <t>PriceMult</t>
        </is>
      </c>
      <c r="F3" s="3" t="inlineStr">
        <is>
          <t>Cost Formula</t>
        </is>
      </c>
      <c r="G3" s="3" t="inlineStr">
        <is>
          <t>Cost</t>
        </is>
      </c>
    </row>
    <row r="4">
      <c r="A4" s="6" t="n">
        <v>1</v>
      </c>
      <c r="B4" s="6" t="inlineStr">
        <is>
          <t>Grass</t>
        </is>
      </c>
      <c r="C4" s="6" t="n">
        <v>1</v>
      </c>
      <c r="D4" s="6" t="inlineStr">
        <is>
          <t>House</t>
        </is>
      </c>
      <c r="E4" s="6" t="n">
        <v>1</v>
      </c>
      <c r="F4" s="6">
        <f>A4*C4*E4*10</f>
        <v/>
      </c>
      <c r="G4" s="6" t="n">
        <v>10</v>
      </c>
    </row>
    <row r="5">
      <c r="A5" s="6" t="n">
        <v>1</v>
      </c>
      <c r="B5" s="6" t="inlineStr">
        <is>
          <t>Grass</t>
        </is>
      </c>
      <c r="C5" s="6" t="n">
        <v>1</v>
      </c>
      <c r="D5" s="6" t="inlineStr">
        <is>
          <t>LoveHouse</t>
        </is>
      </c>
      <c r="E5" s="6" t="n">
        <v>3</v>
      </c>
      <c r="F5" s="6">
        <f>A5*C5*E5*10</f>
        <v/>
      </c>
      <c r="G5" s="6" t="n">
        <v>30</v>
      </c>
    </row>
    <row r="6">
      <c r="A6" s="6" t="n">
        <v>2</v>
      </c>
      <c r="B6" s="6" t="inlineStr">
        <is>
          <t>Grass</t>
        </is>
      </c>
      <c r="C6" s="6" t="n">
        <v>1</v>
      </c>
      <c r="D6" s="6" t="inlineStr">
        <is>
          <t>House</t>
        </is>
      </c>
      <c r="E6" s="6" t="n">
        <v>1</v>
      </c>
      <c r="F6" s="6">
        <f>A6*C6*E6*10</f>
        <v/>
      </c>
      <c r="G6" s="6" t="n">
        <v>20</v>
      </c>
    </row>
    <row r="7">
      <c r="A7" s="6" t="n">
        <v>2</v>
      </c>
      <c r="B7" s="6" t="inlineStr">
        <is>
          <t>Grass</t>
        </is>
      </c>
      <c r="C7" s="6" t="n">
        <v>1</v>
      </c>
      <c r="D7" s="6" t="inlineStr">
        <is>
          <t>LoveHouse</t>
        </is>
      </c>
      <c r="E7" s="6" t="n">
        <v>3</v>
      </c>
      <c r="F7" s="6">
        <f>A7*C7*E7*10</f>
        <v/>
      </c>
      <c r="G7" s="6" t="n">
        <v>60</v>
      </c>
    </row>
    <row r="8">
      <c r="A8" s="6" t="n">
        <v>2</v>
      </c>
      <c r="B8" s="6" t="inlineStr">
        <is>
          <t>Grass</t>
        </is>
      </c>
      <c r="C8" s="6" t="n">
        <v>1</v>
      </c>
      <c r="D8" s="6" t="inlineStr">
        <is>
          <t>HelperAssistant</t>
        </is>
      </c>
      <c r="E8" s="6" t="n">
        <v>2</v>
      </c>
      <c r="F8" s="6">
        <f>A8*C8*E8*10</f>
        <v/>
      </c>
      <c r="G8" s="6" t="n">
        <v>40</v>
      </c>
    </row>
    <row r="9">
      <c r="A9" s="7" t="n">
        <v>3</v>
      </c>
      <c r="B9" s="7" t="inlineStr">
        <is>
          <t>Carrot</t>
        </is>
      </c>
      <c r="C9" s="7" t="n">
        <v>3</v>
      </c>
      <c r="D9" s="7" t="inlineStr">
        <is>
          <t>House</t>
        </is>
      </c>
      <c r="E9" s="7" t="n">
        <v>1</v>
      </c>
      <c r="F9" s="7">
        <f>A9*C9*E9*10</f>
        <v/>
      </c>
      <c r="G9" s="7" t="n">
        <v>90</v>
      </c>
    </row>
    <row r="10">
      <c r="A10" s="7" t="n">
        <v>3</v>
      </c>
      <c r="B10" s="7" t="inlineStr">
        <is>
          <t>Carrot</t>
        </is>
      </c>
      <c r="C10" s="7" t="n">
        <v>3</v>
      </c>
      <c r="D10" s="7" t="inlineStr">
        <is>
          <t>CarrotFarm</t>
        </is>
      </c>
      <c r="E10" s="7" t="n">
        <v>1</v>
      </c>
      <c r="F10" s="7">
        <f>A10*C10*E10*10</f>
        <v/>
      </c>
      <c r="G10" s="7" t="n">
        <v>90</v>
      </c>
    </row>
    <row r="11">
      <c r="A11" s="7" t="n">
        <v>3</v>
      </c>
      <c r="B11" s="7" t="inlineStr">
        <is>
          <t>Carrot</t>
        </is>
      </c>
      <c r="C11" s="7" t="n">
        <v>3</v>
      </c>
      <c r="D11" s="7" t="inlineStr">
        <is>
          <t>UpgradeGatherer</t>
        </is>
      </c>
      <c r="E11" s="7" t="n">
        <v>2</v>
      </c>
      <c r="F11" s="7">
        <f>A11*C11*E11*10</f>
        <v/>
      </c>
      <c r="G11" s="7" t="n">
        <v>180</v>
      </c>
    </row>
    <row r="12">
      <c r="A12" s="7" t="n">
        <v>3</v>
      </c>
      <c r="B12" s="7" t="inlineStr">
        <is>
          <t>Carrot</t>
        </is>
      </c>
      <c r="C12" s="7" t="n">
        <v>3</v>
      </c>
      <c r="D12" s="7" t="inlineStr">
        <is>
          <t>LoveHouse</t>
        </is>
      </c>
      <c r="E12" s="7" t="n">
        <v>3</v>
      </c>
      <c r="F12" s="7">
        <f>A12*C12*E12*10</f>
        <v/>
      </c>
      <c r="G12" s="7" t="n">
        <v>270</v>
      </c>
    </row>
    <row r="13">
      <c r="A13" s="8" t="n">
        <v>4</v>
      </c>
      <c r="B13" s="8" t="inlineStr">
        <is>
          <t>Apple</t>
        </is>
      </c>
      <c r="C13" s="8" t="n">
        <v>5</v>
      </c>
      <c r="D13" s="8" t="inlineStr">
        <is>
          <t>House</t>
        </is>
      </c>
      <c r="E13" s="8" t="n">
        <v>1</v>
      </c>
      <c r="F13" s="8">
        <f>A13*C13*E13*10</f>
        <v/>
      </c>
      <c r="G13" s="8" t="n">
        <v>200</v>
      </c>
    </row>
    <row r="14">
      <c r="A14" s="8" t="n">
        <v>4</v>
      </c>
      <c r="B14" s="8" t="inlineStr">
        <is>
          <t>Apple</t>
        </is>
      </c>
      <c r="C14" s="8" t="n">
        <v>5</v>
      </c>
      <c r="D14" s="8" t="inlineStr">
        <is>
          <t>AppleOrchard</t>
        </is>
      </c>
      <c r="E14" s="8" t="n">
        <v>1</v>
      </c>
      <c r="F14" s="8">
        <f>A14*C14*E14*10</f>
        <v/>
      </c>
      <c r="G14" s="8" t="n">
        <v>200</v>
      </c>
    </row>
    <row r="15">
      <c r="A15" s="8" t="n">
        <v>4</v>
      </c>
      <c r="B15" s="8" t="inlineStr">
        <is>
          <t>Apple</t>
        </is>
      </c>
      <c r="C15" s="8" t="n">
        <v>5</v>
      </c>
      <c r="D15" s="8" t="inlineStr">
        <is>
          <t>CarrotFarm</t>
        </is>
      </c>
      <c r="E15" s="8" t="n">
        <v>1</v>
      </c>
      <c r="F15" s="8">
        <f>A15*C15*E15*10</f>
        <v/>
      </c>
      <c r="G15" s="8" t="n">
        <v>200</v>
      </c>
    </row>
    <row r="16">
      <c r="A16" s="8" t="n">
        <v>4</v>
      </c>
      <c r="B16" s="8" t="inlineStr">
        <is>
          <t>Apple</t>
        </is>
      </c>
      <c r="C16" s="8" t="n">
        <v>5</v>
      </c>
      <c r="D16" s="8" t="inlineStr">
        <is>
          <t>UpgradeBuilder</t>
        </is>
      </c>
      <c r="E16" s="8" t="n">
        <v>2</v>
      </c>
      <c r="F16" s="8">
        <f>A16*C16*E16*10</f>
        <v/>
      </c>
      <c r="G16" s="8" t="n">
        <v>400</v>
      </c>
    </row>
    <row r="17">
      <c r="A17" s="8" t="n">
        <v>4</v>
      </c>
      <c r="B17" s="8" t="inlineStr">
        <is>
          <t>Apple</t>
        </is>
      </c>
      <c r="C17" s="8" t="n">
        <v>5</v>
      </c>
      <c r="D17" s="8" t="inlineStr">
        <is>
          <t>LoveHouse</t>
        </is>
      </c>
      <c r="E17" s="8" t="n">
        <v>3</v>
      </c>
      <c r="F17" s="8">
        <f>A17*C17*E17*10</f>
        <v/>
      </c>
      <c r="G17" s="8" t="n">
        <v>600</v>
      </c>
    </row>
    <row r="18">
      <c r="A18" s="9" t="n">
        <v>5</v>
      </c>
      <c r="B18" s="9" t="inlineStr">
        <is>
          <t>Mushroom</t>
        </is>
      </c>
      <c r="C18" s="9" t="n">
        <v>10</v>
      </c>
      <c r="D18" s="9" t="inlineStr">
        <is>
          <t>House</t>
        </is>
      </c>
      <c r="E18" s="9" t="n">
        <v>1</v>
      </c>
      <c r="F18" s="9">
        <f>A18*C18*E18*10</f>
        <v/>
      </c>
      <c r="G18" s="9" t="n">
        <v>500</v>
      </c>
    </row>
    <row r="19">
      <c r="A19" s="9" t="n">
        <v>5</v>
      </c>
      <c r="B19" s="9" t="inlineStr">
        <is>
          <t>Mushroom</t>
        </is>
      </c>
      <c r="C19" s="9" t="n">
        <v>10</v>
      </c>
      <c r="D19" s="9" t="inlineStr">
        <is>
          <t>MushroomCave</t>
        </is>
      </c>
      <c r="E19" s="9" t="n">
        <v>1</v>
      </c>
      <c r="F19" s="9">
        <f>A19*C19*E19*10</f>
        <v/>
      </c>
      <c r="G19" s="9" t="n">
        <v>500</v>
      </c>
    </row>
    <row r="20">
      <c r="A20" s="9" t="n">
        <v>5</v>
      </c>
      <c r="B20" s="9" t="inlineStr">
        <is>
          <t>Mushroom</t>
        </is>
      </c>
      <c r="C20" s="9" t="n">
        <v>10</v>
      </c>
      <c r="D20" s="9" t="inlineStr">
        <is>
          <t>AppleOrchard</t>
        </is>
      </c>
      <c r="E20" s="9" t="n">
        <v>1</v>
      </c>
      <c r="F20" s="9">
        <f>A20*C20*E20*10</f>
        <v/>
      </c>
      <c r="G20" s="9" t="n">
        <v>500</v>
      </c>
    </row>
    <row r="21">
      <c r="A21" s="9" t="n">
        <v>5</v>
      </c>
      <c r="B21" s="9" t="inlineStr">
        <is>
          <t>Mushroom</t>
        </is>
      </c>
      <c r="C21" s="9" t="n">
        <v>10</v>
      </c>
      <c r="D21" s="9" t="inlineStr">
        <is>
          <t>UpgradeSeller</t>
        </is>
      </c>
      <c r="E21" s="9" t="n">
        <v>2</v>
      </c>
      <c r="F21" s="9">
        <f>A21*C21*E21*10</f>
        <v/>
      </c>
      <c r="G21" s="9" t="n">
        <v>1000</v>
      </c>
    </row>
    <row r="22">
      <c r="A22" s="9" t="n">
        <v>5</v>
      </c>
      <c r="B22" s="9" t="inlineStr">
        <is>
          <t>Mushroom</t>
        </is>
      </c>
      <c r="C22" s="9" t="n">
        <v>10</v>
      </c>
      <c r="D22" s="9" t="inlineStr">
        <is>
          <t>LoveHouse</t>
        </is>
      </c>
      <c r="E22" s="9" t="n">
        <v>3</v>
      </c>
      <c r="F22" s="9">
        <f>A22*C22*E22*10</f>
        <v/>
      </c>
      <c r="G22" s="9" t="n">
        <v>1500</v>
      </c>
    </row>
    <row r="23">
      <c r="A23" s="9" t="n">
        <v>6</v>
      </c>
      <c r="B23" s="9" t="inlineStr">
        <is>
          <t>Mushroom</t>
        </is>
      </c>
      <c r="C23" s="9" t="n">
        <v>10</v>
      </c>
      <c r="D23" s="9" t="inlineStr">
        <is>
          <t>House</t>
        </is>
      </c>
      <c r="E23" s="9" t="n">
        <v>1</v>
      </c>
      <c r="F23" s="9">
        <f>A23*C23*E23*10</f>
        <v/>
      </c>
      <c r="G23" s="9" t="n">
        <v>600</v>
      </c>
    </row>
    <row r="24">
      <c r="A24" s="9" t="n">
        <v>6</v>
      </c>
      <c r="B24" s="9" t="inlineStr">
        <is>
          <t>Mushroom</t>
        </is>
      </c>
      <c r="C24" s="9" t="n">
        <v>10</v>
      </c>
      <c r="D24" s="9" t="inlineStr">
        <is>
          <t>MushroomCave</t>
        </is>
      </c>
      <c r="E24" s="9" t="n">
        <v>1</v>
      </c>
      <c r="F24" s="9">
        <f>A24*C24*E24*10</f>
        <v/>
      </c>
      <c r="G24" s="9" t="n">
        <v>600</v>
      </c>
    </row>
    <row r="25">
      <c r="A25" s="9" t="n">
        <v>7</v>
      </c>
      <c r="B25" s="9" t="inlineStr">
        <is>
          <t>Mushroom</t>
        </is>
      </c>
      <c r="C25" s="9" t="n">
        <v>10</v>
      </c>
      <c r="D25" s="9" t="inlineStr">
        <is>
          <t>FinalStructure</t>
        </is>
      </c>
      <c r="E25" s="9" t="n">
        <v>5</v>
      </c>
      <c r="F25" s="9">
        <f>A25*C25*E25*10</f>
        <v/>
      </c>
      <c r="G25" s="9" t="n">
        <v>3500</v>
      </c>
    </row>
    <row r="26">
      <c r="A26" s="9" t="n">
        <v>7</v>
      </c>
      <c r="B26" s="9" t="inlineStr">
        <is>
          <t>Mushroom</t>
        </is>
      </c>
      <c r="C26" s="9" t="n">
        <v>10</v>
      </c>
      <c r="D26" s="9" t="inlineStr">
        <is>
          <t>House</t>
        </is>
      </c>
      <c r="E26" s="9" t="n">
        <v>1</v>
      </c>
      <c r="F26" s="9">
        <f>A26*C26*E26*10</f>
        <v/>
      </c>
      <c r="G26" s="9" t="n">
        <v>700</v>
      </c>
    </row>
    <row r="29">
      <c r="A29" s="1" t="inlineStr">
        <is>
          <t>TOTAL COST TO REACH EACH ERA</t>
        </is>
      </c>
    </row>
    <row r="30">
      <c r="A30" t="inlineStr">
        <is>
          <t>(Sum of cheapest buildings player must buy)</t>
        </is>
      </c>
    </row>
    <row r="31">
      <c r="A31" s="3" t="inlineStr">
        <is>
          <t>Era Gate</t>
        </is>
      </c>
      <c r="B31" s="3" t="inlineStr">
        <is>
          <t>Buildings Needed</t>
        </is>
      </c>
      <c r="C31" s="3" t="inlineStr">
        <is>
          <t>Approx Total Cost</t>
        </is>
      </c>
      <c r="D31" s="3" t="inlineStr">
        <is>
          <t>Notes</t>
        </is>
      </c>
    </row>
    <row r="32">
      <c r="A32" s="4" t="inlineStr">
        <is>
          <t>Reach dist 1</t>
        </is>
      </c>
      <c r="B32" s="4" t="inlineStr">
        <is>
          <t>1 house @ dist 1</t>
        </is>
      </c>
      <c r="C32" s="4" t="n">
        <v>10</v>
      </c>
      <c r="D32" s="4" t="inlineStr">
        <is>
          <t>Start: SellPoint(0,0)+LoveHouse(1,0) are free spawns</t>
        </is>
      </c>
    </row>
    <row r="33">
      <c r="A33" s="4" t="inlineStr">
        <is>
          <t>Reach dist 2</t>
        </is>
      </c>
      <c r="B33" s="4" t="inlineStr">
        <is>
          <t>~4 houses @ dist 1</t>
        </is>
      </c>
      <c r="C33" s="4" t="n">
        <v>40</v>
      </c>
      <c r="D33" s="4" t="inlineStr">
        <is>
          <t>4 × 10 = 40 total</t>
        </is>
      </c>
    </row>
    <row r="34">
      <c r="A34" s="4" t="inlineStr">
        <is>
          <t>Reach dist 3 (Carrot)</t>
        </is>
      </c>
      <c r="B34" s="4" t="inlineStr">
        <is>
          <t>above + ~3 houses @ dist 2</t>
        </is>
      </c>
      <c r="C34" s="4">
        <f>C33+3*20</f>
        <v/>
      </c>
      <c r="D34" s="4" t="inlineStr">
        <is>
          <t>40 + 60 = 100 cumulative</t>
        </is>
      </c>
    </row>
    <row r="35">
      <c r="A35" s="4" t="inlineStr">
        <is>
          <t>Reach dist 4 (Apple)</t>
        </is>
      </c>
      <c r="B35" s="4" t="inlineStr">
        <is>
          <t>above + ~2 houses @ dist 3</t>
        </is>
      </c>
      <c r="C35" s="4">
        <f>C34+2*90</f>
        <v/>
      </c>
      <c r="D35" s="4" t="inlineStr">
        <is>
          <t>100 + 180 = 280 cumulative</t>
        </is>
      </c>
    </row>
    <row r="36">
      <c r="A36" s="4" t="inlineStr">
        <is>
          <t>Reach dist 5 (Mushroom)</t>
        </is>
      </c>
      <c r="B36" s="4" t="inlineStr">
        <is>
          <t>above + ~2 houses @ dist 4</t>
        </is>
      </c>
      <c r="C36" s="4">
        <f>C35+2*200</f>
        <v/>
      </c>
      <c r="D36" s="4" t="inlineStr">
        <is>
          <t>280 + 400 = 680 cumulative</t>
        </is>
      </c>
    </row>
    <row r="37">
      <c r="A37" s="4" t="inlineStr">
        <is>
          <t>Reach dist 6</t>
        </is>
      </c>
      <c r="B37" s="4" t="inlineStr">
        <is>
          <t>above + ~1 house @ dist 5</t>
        </is>
      </c>
      <c r="C37" s="4">
        <f>C36+500</f>
        <v/>
      </c>
      <c r="D37" s="4" t="inlineStr">
        <is>
          <t>680 + 500 = 1180 cumulative</t>
        </is>
      </c>
    </row>
    <row r="38">
      <c r="A38" s="4" t="inlineStr">
        <is>
          <t>Reach dist 7 (FS)</t>
        </is>
      </c>
      <c r="B38" s="4" t="inlineStr">
        <is>
          <t>above + ~1 house @ dist 6</t>
        </is>
      </c>
      <c r="C38" s="4">
        <f>C37+600</f>
        <v/>
      </c>
      <c r="D38" s="4" t="inlineStr">
        <is>
          <t>1180 + 600 = 1780 cumulative</t>
        </is>
      </c>
    </row>
    <row r="39">
      <c r="A39" s="4" t="inlineStr">
        <is>
          <t>Buy FinalStructure</t>
        </is>
      </c>
      <c r="B39" s="4" t="inlineStr">
        <is>
          <t>FS itself</t>
        </is>
      </c>
      <c r="C39" s="4" t="n">
        <v>3500</v>
      </c>
      <c r="D39" s="4" t="inlineStr">
        <is>
          <t>Grand total: ~5280 coins to win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2" customWidth="1" min="4" max="4"/>
    <col width="28" customWidth="1" min="5" max="5"/>
    <col width="28" customWidth="1" min="6" max="6"/>
  </cols>
  <sheetData>
    <row r="1">
      <c r="A1" s="1" t="inlineStr">
        <is>
          <t>INCOME PER COW PER MINUTE</t>
        </is>
      </c>
    </row>
    <row r="2">
      <c r="A2" s="5" t="inlineStr">
        <is>
          <t>Assumptions: 60 ticks/sec, refresh 1/500 per tick per exhaust point</t>
        </is>
      </c>
    </row>
    <row r="4">
      <c r="A4" s="10" t="inlineStr">
        <is>
          <t>REFRESH RATE MATH</t>
        </is>
      </c>
    </row>
    <row r="5">
      <c r="A5" s="2" t="inlineStr">
        <is>
          <t>Ticks per second</t>
        </is>
      </c>
      <c r="B5" t="n">
        <v>60</v>
      </c>
    </row>
    <row r="6">
      <c r="A6" s="2" t="inlineStr">
        <is>
          <t>Refresh chance per tick</t>
        </is>
      </c>
      <c r="B6">
        <f>1/500</f>
        <v/>
      </c>
    </row>
    <row r="7">
      <c r="A7" s="2" t="inlineStr">
        <is>
          <t>Expected ticks to refresh 1 exhaust</t>
        </is>
      </c>
      <c r="B7" t="n">
        <v>500</v>
      </c>
    </row>
    <row r="8">
      <c r="A8" s="2" t="inlineStr">
        <is>
          <t>Seconds to refresh 1 exhaust</t>
        </is>
      </c>
      <c r="B8">
        <f>B7/B5</f>
        <v/>
      </c>
    </row>
    <row r="9">
      <c r="A9" s="2" t="inlineStr">
        <is>
          <t>Typical MaxExhaust</t>
        </is>
      </c>
      <c r="B9" t="n">
        <v>27</v>
      </c>
    </row>
    <row r="10">
      <c r="A10" s="2" t="inlineStr">
        <is>
          <t>Minutes to full refresh (27 exhaust)</t>
        </is>
      </c>
      <c r="B10">
        <f>B8*B9/60</f>
        <v/>
      </c>
    </row>
    <row r="11">
      <c r="A11" s="2" t="inlineStr">
        <is>
          <t>Full refreshes per 30 min</t>
        </is>
      </c>
      <c r="B11">
        <f>30/B10</f>
        <v/>
      </c>
    </row>
    <row r="14">
      <c r="A14" s="10" t="inlineStr">
        <is>
          <t>INCOME PER FULL MILK CYCLE (1 cow, MaxExhaust=27)</t>
        </is>
      </c>
    </row>
    <row r="15">
      <c r="A15" s="3" t="inlineStr">
        <is>
          <t>Food Type</t>
        </is>
      </c>
      <c r="B15" s="3" t="inlineStr">
        <is>
          <t>Coins/Unit</t>
        </is>
      </c>
      <c r="C15" s="3" t="inlineStr">
        <is>
          <t>Milk/Exhaust (preferred)</t>
        </is>
      </c>
      <c r="D15" s="3" t="inlineStr">
        <is>
          <t>Milk/Exhaust (non-pref)</t>
        </is>
      </c>
      <c r="E15" s="3" t="inlineStr">
        <is>
          <t>Total Coins (pref, 27 exh)</t>
        </is>
      </c>
      <c r="F15" s="3" t="inlineStr">
        <is>
          <t>Total Coins (non-pref, 27 exh)</t>
        </is>
      </c>
    </row>
    <row r="16">
      <c r="A16" s="6" t="inlineStr">
        <is>
          <t>Grass/Milk</t>
        </is>
      </c>
      <c r="B16" s="6" t="n">
        <v>1</v>
      </c>
      <c r="C16" s="6" t="n">
        <v>3</v>
      </c>
      <c r="D16" s="6" t="n">
        <v>1</v>
      </c>
      <c r="E16" s="6">
        <f>B16*C16*27</f>
        <v/>
      </c>
      <c r="F16" s="6">
        <f>B16*D16*27</f>
        <v/>
      </c>
    </row>
    <row r="17">
      <c r="A17" s="7" t="inlineStr">
        <is>
          <t>Carrot/VitaShake</t>
        </is>
      </c>
      <c r="B17" s="7" t="n">
        <v>5</v>
      </c>
      <c r="C17" s="7" t="n">
        <v>3</v>
      </c>
      <c r="D17" s="7" t="n">
        <v>1</v>
      </c>
      <c r="E17" s="7">
        <f>B17*C17*27</f>
        <v/>
      </c>
      <c r="F17" s="7">
        <f>B17*D17*27</f>
        <v/>
      </c>
    </row>
    <row r="18">
      <c r="A18" s="8" t="inlineStr">
        <is>
          <t>Apple/Yogurt</t>
        </is>
      </c>
      <c r="B18" s="8" t="n">
        <v>25</v>
      </c>
      <c r="C18" s="8" t="n">
        <v>3</v>
      </c>
      <c r="D18" s="8" t="n">
        <v>1</v>
      </c>
      <c r="E18" s="8">
        <f>B18*C18*27</f>
        <v/>
      </c>
      <c r="F18" s="8">
        <f>B18*D18*27</f>
        <v/>
      </c>
    </row>
    <row r="19">
      <c r="A19" s="9" t="inlineStr">
        <is>
          <t>Mushroom/Potion</t>
        </is>
      </c>
      <c r="B19" s="9" t="n">
        <v>100</v>
      </c>
      <c r="C19" s="9" t="n">
        <v>3</v>
      </c>
      <c r="D19" s="9" t="n">
        <v>1</v>
      </c>
      <c r="E19" s="9">
        <f>B19*C19*27</f>
        <v/>
      </c>
      <c r="F19" s="9">
        <f>B19*D19*27</f>
        <v/>
      </c>
    </row>
    <row r="22">
      <c r="A22" s="10" t="inlineStr">
        <is>
          <t>INCOME PER MINUTE PER COW</t>
        </is>
      </c>
    </row>
    <row r="23">
      <c r="A23" s="5">
        <f> (coins per full cycle) / (minutes to full refresh)</f>
        <v/>
      </c>
    </row>
    <row r="24">
      <c r="A24" s="3" t="inlineStr">
        <is>
          <t>Food Type</t>
        </is>
      </c>
      <c r="B24" s="3" t="inlineStr">
        <is>
          <t>Coins/Cycle (pref)</t>
        </is>
      </c>
      <c r="C24" s="3" t="inlineStr">
        <is>
          <t>Refresh Time (min)</t>
        </is>
      </c>
      <c r="D24" s="3" t="inlineStr">
        <is>
          <t>Coins/Min (pref)</t>
        </is>
      </c>
      <c r="E24" s="3" t="inlineStr">
        <is>
          <t>Coins/Cycle (non-pref)</t>
        </is>
      </c>
      <c r="F24" s="3" t="inlineStr">
        <is>
          <t>Coins/Min (non-pref)</t>
        </is>
      </c>
    </row>
    <row r="25">
      <c r="A25" s="6" t="inlineStr">
        <is>
          <t>Grass/Milk</t>
        </is>
      </c>
      <c r="B25" s="6">
        <f>E16</f>
        <v/>
      </c>
      <c r="C25" s="6">
        <f>B10</f>
        <v/>
      </c>
      <c r="D25" s="6">
        <f>B25/C25</f>
        <v/>
      </c>
      <c r="E25" s="6">
        <f>F16</f>
        <v/>
      </c>
      <c r="F25" s="6">
        <f>E25/C25</f>
        <v/>
      </c>
    </row>
    <row r="26">
      <c r="A26" s="7" t="inlineStr">
        <is>
          <t>Carrot/VitaShake</t>
        </is>
      </c>
      <c r="B26" s="7">
        <f>E17</f>
        <v/>
      </c>
      <c r="C26" s="7">
        <f>B10</f>
        <v/>
      </c>
      <c r="D26" s="7">
        <f>B26/C26</f>
        <v/>
      </c>
      <c r="E26" s="7">
        <f>F17</f>
        <v/>
      </c>
      <c r="F26" s="7">
        <f>E26/C26</f>
        <v/>
      </c>
    </row>
    <row r="27">
      <c r="A27" s="8" t="inlineStr">
        <is>
          <t>Apple/Yogurt</t>
        </is>
      </c>
      <c r="B27" s="8">
        <f>E18</f>
        <v/>
      </c>
      <c r="C27" s="8">
        <f>B10</f>
        <v/>
      </c>
      <c r="D27" s="8">
        <f>B27/C27</f>
        <v/>
      </c>
      <c r="E27" s="8">
        <f>F18</f>
        <v/>
      </c>
      <c r="F27" s="8">
        <f>E27/C27</f>
        <v/>
      </c>
    </row>
    <row r="28">
      <c r="A28" s="9" t="inlineStr">
        <is>
          <t>Mushroom/Potion</t>
        </is>
      </c>
      <c r="B28" s="9">
        <f>E19</f>
        <v/>
      </c>
      <c r="C28" s="9">
        <f>B10</f>
        <v/>
      </c>
      <c r="D28" s="9">
        <f>B28/C28</f>
        <v/>
      </c>
      <c r="E28" s="9">
        <f>F19</f>
        <v/>
      </c>
      <c r="F28" s="9">
        <f>E28/C28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8" customWidth="1" min="3" max="3"/>
    <col width="20" customWidth="1" min="4" max="4"/>
    <col width="16" customWidth="1" min="5" max="5"/>
    <col width="14" customWidth="1" min="6" max="6"/>
    <col width="26" customWidth="1" min="7" max="7"/>
    <col width="16" customWidth="1" min="8" max="8"/>
    <col width="16" customWidth="1" min="9" max="9"/>
  </cols>
  <sheetData>
    <row r="1">
      <c r="A1" s="1" t="inlineStr">
        <is>
          <t>TIME TO AFFORD BUILDINGS AT EACH ERA</t>
        </is>
      </c>
    </row>
    <row r="2">
      <c r="A2" s="5" t="inlineStr">
        <is>
          <t>Shows how long it takes to earn enough coins for next era, given current income</t>
        </is>
      </c>
    </row>
    <row r="4">
      <c r="A4" s="3" t="inlineStr">
        <is>
          <t>Phase</t>
        </is>
      </c>
      <c r="B4" s="3" t="inlineStr">
        <is>
          <t>Income Source</t>
        </is>
      </c>
      <c r="C4" s="3" t="inlineStr">
        <is>
          <t># Cows</t>
        </is>
      </c>
      <c r="D4" s="3" t="inlineStr">
        <is>
          <t>Coins/Min/Cow (pref)</t>
        </is>
      </c>
      <c r="E4" s="3" t="inlineStr">
        <is>
          <t>Total Coins/Min</t>
        </is>
      </c>
      <c r="F4" s="3" t="inlineStr">
        <is>
          <t>Target Cost</t>
        </is>
      </c>
      <c r="G4" s="3" t="inlineStr">
        <is>
          <t>What To Buy</t>
        </is>
      </c>
      <c r="H4" s="3" t="inlineStr">
        <is>
          <t>Minutes To Earn</t>
        </is>
      </c>
      <c r="I4" s="3" t="inlineStr">
        <is>
          <t>Cumul. Minutes</t>
        </is>
      </c>
    </row>
    <row r="5">
      <c r="A5" s="6" t="inlineStr">
        <is>
          <t>Grass era (dist 1-2)</t>
        </is>
      </c>
      <c r="B5" s="6" t="inlineStr">
        <is>
          <t>Grass milk (pref)</t>
        </is>
      </c>
      <c r="C5" s="6" t="n">
        <v>2</v>
      </c>
      <c r="D5" s="6">
        <f>'Income Analysis'.D25</f>
        <v/>
      </c>
      <c r="E5" s="6">
        <f>C5*D5</f>
        <v/>
      </c>
      <c r="F5" s="6">
        <f>4*10+3*20</f>
        <v/>
      </c>
      <c r="G5" s="6" t="inlineStr">
        <is>
          <t>4 houses @ d1 + 3 houses @ d2</t>
        </is>
      </c>
      <c r="H5" s="6">
        <f>F5/E5</f>
        <v/>
      </c>
      <c r="I5" s="6">
        <f>H5</f>
        <v/>
      </c>
    </row>
    <row r="6">
      <c r="A6" s="6" t="inlineStr">
        <is>
          <t>Save for Carrot farm</t>
        </is>
      </c>
      <c r="B6" s="6" t="inlineStr">
        <is>
          <t>Grass milk (pref)</t>
        </is>
      </c>
      <c r="C6" s="6" t="n">
        <v>2</v>
      </c>
      <c r="D6" s="6">
        <f>'Income Analysis'.D25</f>
        <v/>
      </c>
      <c r="E6" s="6">
        <f>C6*D6</f>
        <v/>
      </c>
      <c r="F6" s="6" t="n">
        <v>90</v>
      </c>
      <c r="G6" s="6" t="inlineStr">
        <is>
          <t>CarrotFarm @ d3</t>
        </is>
      </c>
      <c r="H6" s="6">
        <f>F6/E6</f>
        <v/>
      </c>
      <c r="I6" s="6">
        <f>I5+H6</f>
        <v/>
      </c>
    </row>
    <row r="7">
      <c r="A7" s="7" t="inlineStr">
        <is>
          <t>Carrot era (dist 3)</t>
        </is>
      </c>
      <c r="B7" s="7" t="inlineStr">
        <is>
          <t>Carrot milk (pref)</t>
        </is>
      </c>
      <c r="C7" s="7" t="n">
        <v>2</v>
      </c>
      <c r="D7" s="7">
        <f>'Income Analysis'.D26</f>
        <v/>
      </c>
      <c r="E7" s="7">
        <f>C7*D7</f>
        <v/>
      </c>
      <c r="F7" s="7">
        <f>2*90</f>
        <v/>
      </c>
      <c r="G7" s="7" t="inlineStr">
        <is>
          <t>2 houses @ d3</t>
        </is>
      </c>
      <c r="H7" s="7">
        <f>F7/E7</f>
        <v/>
      </c>
      <c r="I7" s="7">
        <f>I6+H7</f>
        <v/>
      </c>
    </row>
    <row r="8">
      <c r="A8" s="7" t="inlineStr">
        <is>
          <t>Save for Apple farm</t>
        </is>
      </c>
      <c r="B8" s="7" t="inlineStr">
        <is>
          <t>Carrot milk (pref)</t>
        </is>
      </c>
      <c r="C8" s="7" t="n">
        <v>3</v>
      </c>
      <c r="D8" s="7">
        <f>'Income Analysis'.D26</f>
        <v/>
      </c>
      <c r="E8" s="7">
        <f>C8*D8</f>
        <v/>
      </c>
      <c r="F8" s="7" t="n">
        <v>200</v>
      </c>
      <c r="G8" s="7" t="inlineStr">
        <is>
          <t>AppleOrchard @ d4</t>
        </is>
      </c>
      <c r="H8" s="7">
        <f>F8/E8</f>
        <v/>
      </c>
      <c r="I8" s="7">
        <f>I7+H8</f>
        <v/>
      </c>
    </row>
    <row r="9">
      <c r="A9" s="8" t="inlineStr">
        <is>
          <t>Apple era (dist 4)</t>
        </is>
      </c>
      <c r="B9" s="8" t="inlineStr">
        <is>
          <t>Apple milk (pref)</t>
        </is>
      </c>
      <c r="C9" s="8" t="n">
        <v>3</v>
      </c>
      <c r="D9" s="8">
        <f>'Income Analysis'.D27</f>
        <v/>
      </c>
      <c r="E9" s="8">
        <f>C9*D9</f>
        <v/>
      </c>
      <c r="F9" s="8">
        <f>2*200</f>
        <v/>
      </c>
      <c r="G9" s="8" t="inlineStr">
        <is>
          <t>2 houses @ d4</t>
        </is>
      </c>
      <c r="H9" s="8">
        <f>F9/E9</f>
        <v/>
      </c>
      <c r="I9" s="8">
        <f>I8+H9</f>
        <v/>
      </c>
    </row>
    <row r="10">
      <c r="A10" s="8" t="inlineStr">
        <is>
          <t>Save for Mushroom farm</t>
        </is>
      </c>
      <c r="B10" s="8" t="inlineStr">
        <is>
          <t>Apple milk (pref)</t>
        </is>
      </c>
      <c r="C10" s="8" t="n">
        <v>4</v>
      </c>
      <c r="D10" s="8">
        <f>'Income Analysis'.D27</f>
        <v/>
      </c>
      <c r="E10" s="8">
        <f>C10*D10</f>
        <v/>
      </c>
      <c r="F10" s="8" t="n">
        <v>500</v>
      </c>
      <c r="G10" s="8" t="inlineStr">
        <is>
          <t>MushroomCave @ d5</t>
        </is>
      </c>
      <c r="H10" s="8">
        <f>F10/E10</f>
        <v/>
      </c>
      <c r="I10" s="8">
        <f>I9+H10</f>
        <v/>
      </c>
    </row>
    <row r="11">
      <c r="A11" s="9" t="inlineStr">
        <is>
          <t>Mushroom era (dist 5-6)</t>
        </is>
      </c>
      <c r="B11" s="9" t="inlineStr">
        <is>
          <t>Mushroom milk (pref)</t>
        </is>
      </c>
      <c r="C11" s="9" t="n">
        <v>4</v>
      </c>
      <c r="D11" s="9">
        <f>'Income Analysis'.D28</f>
        <v/>
      </c>
      <c r="E11" s="9">
        <f>C11*D11</f>
        <v/>
      </c>
      <c r="F11" s="9">
        <f>2*500+600</f>
        <v/>
      </c>
      <c r="G11" s="9" t="inlineStr">
        <is>
          <t>2 houses @ d5 + 1 @ d6</t>
        </is>
      </c>
      <c r="H11" s="9">
        <f>F11/E11</f>
        <v/>
      </c>
      <c r="I11" s="9">
        <f>I10+H11</f>
        <v/>
      </c>
    </row>
    <row r="12">
      <c r="A12" s="9" t="inlineStr">
        <is>
          <t>FinalStructure</t>
        </is>
      </c>
      <c r="B12" s="9" t="inlineStr">
        <is>
          <t>Mushroom milk (pref)</t>
        </is>
      </c>
      <c r="C12" s="9" t="n">
        <v>5</v>
      </c>
      <c r="D12" s="9">
        <f>'Income Analysis'.D28</f>
        <v/>
      </c>
      <c r="E12" s="9">
        <f>C12*D12</f>
        <v/>
      </c>
      <c r="F12" s="9" t="n">
        <v>3500</v>
      </c>
      <c r="G12" s="9" t="inlineStr">
        <is>
          <t>FS @ d7</t>
        </is>
      </c>
      <c r="H12" s="9">
        <f>F12/E12</f>
        <v/>
      </c>
      <c r="I12" s="9">
        <f>I11+H12</f>
        <v/>
      </c>
    </row>
    <row r="15">
      <c r="A15" s="10" t="inlineStr">
        <is>
          <t>TOTAL ESTIMATED TIME</t>
        </is>
      </c>
      <c r="I15" s="1">
        <f>I12</f>
        <v/>
      </c>
    </row>
    <row r="16">
      <c r="A16" t="inlineStr">
        <is>
          <t>Target: 20 min (selective+helpers)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8" customWidth="1" min="4" max="4"/>
    <col width="16" customWidth="1" min="5" max="5"/>
    <col width="16" customWidth="1" min="6" max="6"/>
    <col width="20" customWidth="1" min="7" max="7"/>
    <col width="10" customWidth="1" min="8" max="8"/>
    <col width="12" customWidth="1" min="9" max="9"/>
  </cols>
  <sheetData>
    <row r="1">
      <c r="A1" s="1" t="inlineStr">
        <is>
          <t>WHAT-IF: ADJUST MILK COIN VALUES</t>
        </is>
      </c>
    </row>
    <row r="2">
      <c r="A2" s="5" t="inlineStr">
        <is>
          <t>Change values in column B to see impact on era progression</t>
        </is>
      </c>
    </row>
    <row r="4">
      <c r="A4" s="10" t="inlineStr">
        <is>
          <t>TUNABLE MILK VALUES</t>
        </is>
      </c>
    </row>
    <row r="5">
      <c r="A5" s="2" t="inlineStr">
        <is>
          <t>Grass Milk (coins/unit)</t>
        </is>
      </c>
      <c r="B5" s="11" t="n">
        <v>1</v>
      </c>
    </row>
    <row r="6">
      <c r="A6" s="2" t="inlineStr">
        <is>
          <t>Carrot VitaShake (coins/unit)</t>
        </is>
      </c>
      <c r="B6" s="11" t="n">
        <v>5</v>
      </c>
    </row>
    <row r="7">
      <c r="A7" s="2" t="inlineStr">
        <is>
          <t>Apple Yogurt (coins/unit)</t>
        </is>
      </c>
      <c r="B7" s="11" t="n">
        <v>25</v>
      </c>
    </row>
    <row r="8">
      <c r="A8" s="2" t="inlineStr">
        <is>
          <t>Mushroom Potion (coins/unit)</t>
        </is>
      </c>
      <c r="B8" s="11" t="n">
        <v>100</v>
      </c>
    </row>
    <row r="9">
      <c r="A9" s="2" t="inlineStr">
        <is>
          <t>MaxExhaust</t>
        </is>
      </c>
      <c r="B9" t="n">
        <v>27</v>
      </c>
    </row>
    <row r="10">
      <c r="A10" s="2" t="inlineStr">
        <is>
          <t>Preferred multiplier</t>
        </is>
      </c>
      <c r="B10" t="n">
        <v>3</v>
      </c>
    </row>
    <row r="11">
      <c r="A11" s="2" t="inlineStr">
        <is>
          <t>Refresh time (min)</t>
        </is>
      </c>
      <c r="B11">
        <f>B9*500/60/60</f>
        <v/>
      </c>
    </row>
    <row r="14">
      <c r="A14" s="10" t="inlineStr">
        <is>
          <t>RECALCULATED PROGRESSION (uses yellow values above)</t>
        </is>
      </c>
    </row>
    <row r="15">
      <c r="A15" s="3" t="inlineStr">
        <is>
          <t>Phase</t>
        </is>
      </c>
      <c r="B15" s="3" t="inlineStr">
        <is>
          <t>Food Tier</t>
        </is>
      </c>
      <c r="C15" s="3" t="inlineStr">
        <is>
          <t># Cows</t>
        </is>
      </c>
      <c r="D15" s="3" t="inlineStr">
        <is>
          <t>Coins/Cycle/Cow</t>
        </is>
      </c>
      <c r="E15" s="3" t="inlineStr">
        <is>
          <t>Coins/Min/Cow</t>
        </is>
      </c>
      <c r="F15" s="3" t="inlineStr">
        <is>
          <t>Total Coins/Min</t>
        </is>
      </c>
      <c r="G15" s="3" t="inlineStr">
        <is>
          <t>Target Cost</t>
        </is>
      </c>
      <c r="H15" s="3" t="inlineStr">
        <is>
          <t>Minutes</t>
        </is>
      </c>
      <c r="I15" s="3" t="inlineStr">
        <is>
          <t>Cumul Min</t>
        </is>
      </c>
    </row>
    <row r="16">
      <c r="A16" s="6" t="inlineStr">
        <is>
          <t>Grass era (dist 1-2)</t>
        </is>
      </c>
      <c r="B16" s="6" t="inlineStr">
        <is>
          <t>Grass</t>
        </is>
      </c>
      <c r="C16" s="6" t="n">
        <v>2</v>
      </c>
      <c r="D16" s="6">
        <f>B5*B10*B9</f>
        <v/>
      </c>
      <c r="E16" s="6">
        <f>D16/B$11</f>
        <v/>
      </c>
      <c r="F16" s="6">
        <f>E16*C16</f>
        <v/>
      </c>
      <c r="G16" s="6">
        <f>4*10+3*20</f>
        <v/>
      </c>
      <c r="H16" s="6">
        <f>G16/F16</f>
        <v/>
      </c>
      <c r="I16" s="6">
        <f>H16</f>
        <v/>
      </c>
    </row>
    <row r="17">
      <c r="A17" s="6" t="inlineStr">
        <is>
          <t>Carrot farm</t>
        </is>
      </c>
      <c r="B17" s="6" t="inlineStr">
        <is>
          <t>Grass</t>
        </is>
      </c>
      <c r="C17" s="6" t="n">
        <v>2</v>
      </c>
      <c r="D17" s="6">
        <f>B5*B10*B9</f>
        <v/>
      </c>
      <c r="E17" s="6">
        <f>D17/B$11</f>
        <v/>
      </c>
      <c r="F17" s="6">
        <f>E17*C17</f>
        <v/>
      </c>
      <c r="G17" s="6">
        <f>90</f>
        <v/>
      </c>
      <c r="H17" s="6">
        <f>G17/F17</f>
        <v/>
      </c>
      <c r="I17" s="6">
        <f>I16+H17</f>
        <v/>
      </c>
    </row>
    <row r="18">
      <c r="A18" s="7" t="inlineStr">
        <is>
          <t>Carrot era (dist 3)</t>
        </is>
      </c>
      <c r="B18" s="7" t="inlineStr">
        <is>
          <t>Carrot</t>
        </is>
      </c>
      <c r="C18" s="7" t="n">
        <v>2</v>
      </c>
      <c r="D18" s="7">
        <f>B6*B10*B9</f>
        <v/>
      </c>
      <c r="E18" s="7">
        <f>D18/B$11</f>
        <v/>
      </c>
      <c r="F18" s="7">
        <f>E18*C18</f>
        <v/>
      </c>
      <c r="G18" s="7">
        <f>2*90</f>
        <v/>
      </c>
      <c r="H18" s="7">
        <f>G18/F18</f>
        <v/>
      </c>
      <c r="I18" s="7">
        <f>I17+H18</f>
        <v/>
      </c>
    </row>
    <row r="19">
      <c r="A19" s="7" t="inlineStr">
        <is>
          <t>Apple farm</t>
        </is>
      </c>
      <c r="B19" s="7" t="inlineStr">
        <is>
          <t>Carrot</t>
        </is>
      </c>
      <c r="C19" s="7" t="n">
        <v>3</v>
      </c>
      <c r="D19" s="7">
        <f>B6*B10*B9</f>
        <v/>
      </c>
      <c r="E19" s="7">
        <f>D19/B$11</f>
        <v/>
      </c>
      <c r="F19" s="7">
        <f>E19*C19</f>
        <v/>
      </c>
      <c r="G19" s="7">
        <f>200</f>
        <v/>
      </c>
      <c r="H19" s="7">
        <f>G19/F19</f>
        <v/>
      </c>
      <c r="I19" s="7">
        <f>I18+H19</f>
        <v/>
      </c>
    </row>
    <row r="20">
      <c r="A20" s="8" t="inlineStr">
        <is>
          <t>Apple era (dist 4)</t>
        </is>
      </c>
      <c r="B20" s="8" t="inlineStr">
        <is>
          <t>Apple</t>
        </is>
      </c>
      <c r="C20" s="8" t="n">
        <v>3</v>
      </c>
      <c r="D20" s="8">
        <f>B7*B10*B9</f>
        <v/>
      </c>
      <c r="E20" s="8">
        <f>D20/B$11</f>
        <v/>
      </c>
      <c r="F20" s="8">
        <f>E20*C20</f>
        <v/>
      </c>
      <c r="G20" s="8">
        <f>2*200</f>
        <v/>
      </c>
      <c r="H20" s="8">
        <f>G20/F20</f>
        <v/>
      </c>
      <c r="I20" s="8">
        <f>I19+H20</f>
        <v/>
      </c>
    </row>
    <row r="21">
      <c r="A21" s="8" t="inlineStr">
        <is>
          <t>Mushroom farm</t>
        </is>
      </c>
      <c r="B21" s="8" t="inlineStr">
        <is>
          <t>Apple</t>
        </is>
      </c>
      <c r="C21" s="8" t="n">
        <v>4</v>
      </c>
      <c r="D21" s="8">
        <f>B7*B10*B9</f>
        <v/>
      </c>
      <c r="E21" s="8">
        <f>D21/B$11</f>
        <v/>
      </c>
      <c r="F21" s="8">
        <f>E21*C21</f>
        <v/>
      </c>
      <c r="G21" s="8">
        <f>500</f>
        <v/>
      </c>
      <c r="H21" s="8">
        <f>G21/F21</f>
        <v/>
      </c>
      <c r="I21" s="8">
        <f>I20+H21</f>
        <v/>
      </c>
    </row>
    <row r="22">
      <c r="A22" s="9" t="inlineStr">
        <is>
          <t>Mushroom (dist 5-6)</t>
        </is>
      </c>
      <c r="B22" s="9" t="inlineStr">
        <is>
          <t>Mushroom</t>
        </is>
      </c>
      <c r="C22" s="9" t="n">
        <v>4</v>
      </c>
      <c r="D22" s="9">
        <f>B8*B10*B9</f>
        <v/>
      </c>
      <c r="E22" s="9">
        <f>D22/B$11</f>
        <v/>
      </c>
      <c r="F22" s="9">
        <f>E22*C22</f>
        <v/>
      </c>
      <c r="G22" s="9">
        <f>2*500+600</f>
        <v/>
      </c>
      <c r="H22" s="9">
        <f>G22/F22</f>
        <v/>
      </c>
      <c r="I22" s="9">
        <f>I21+H22</f>
        <v/>
      </c>
    </row>
    <row r="23">
      <c r="A23" s="9" t="inlineStr">
        <is>
          <t>FinalStructure</t>
        </is>
      </c>
      <c r="B23" s="9" t="inlineStr">
        <is>
          <t>Mushroom</t>
        </is>
      </c>
      <c r="C23" s="9" t="n">
        <v>5</v>
      </c>
      <c r="D23" s="9">
        <f>B8*B10*B9</f>
        <v/>
      </c>
      <c r="E23" s="9">
        <f>D23/B$11</f>
        <v/>
      </c>
      <c r="F23" s="9">
        <f>E23*C23</f>
        <v/>
      </c>
      <c r="G23" s="9">
        <f>3500</f>
        <v/>
      </c>
      <c r="H23" s="9">
        <f>G23/F23</f>
        <v/>
      </c>
      <c r="I23" s="9">
        <f>I22+H23</f>
        <v/>
      </c>
    </row>
    <row r="25">
      <c r="A25" s="12" t="inlineStr">
        <is>
          <t>TOTAL TIME TO WIN</t>
        </is>
      </c>
      <c r="I25" s="12">
        <f>I23</f>
        <v/>
      </c>
    </row>
    <row r="26">
      <c r="A26" s="5" t="inlineStr">
        <is>
          <t>Target: ~20 min</t>
        </is>
      </c>
    </row>
    <row r="27">
      <c r="A27" s="13" t="inlineStr">
        <is>
          <t>Change YELLOW cells above to tune!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" customWidth="1" min="3" max="3"/>
    <col width="20" customWidth="1" min="4" max="4"/>
    <col width="12" customWidth="1" min="5" max="5"/>
    <col width="18" customWidth="1" min="6" max="6"/>
    <col width="16" customWidth="1" min="7" max="7"/>
    <col width="12" customWidth="1" min="8" max="8"/>
    <col width="18" customWidth="1" min="9" max="9"/>
    <col width="12" customWidth="1" min="10" max="10"/>
    <col width="12" customWidth="1" min="11" max="11"/>
  </cols>
  <sheetData>
    <row r="1">
      <c r="A1" s="1" t="inlineStr">
        <is>
          <t>REALISTIC ECONOMY MODEL</t>
        </is>
      </c>
    </row>
    <row r="2">
      <c r="A2" s="5" t="inlineStr">
        <is>
          <t>Accounts for: click efficiency, sell time, food gathering, non-preferred cows</t>
        </is>
      </c>
    </row>
    <row r="4">
      <c r="A4" s="10" t="inlineStr">
        <is>
          <t>TUNABLE PARAMETERS</t>
        </is>
      </c>
    </row>
    <row r="5">
      <c r="A5" s="2" t="inlineStr">
        <is>
          <t>Grass Milk (coins/unit)</t>
        </is>
      </c>
      <c r="B5" s="11" t="n">
        <v>1</v>
      </c>
      <c r="C5" s="14" t="inlineStr"/>
    </row>
    <row r="6">
      <c r="A6" s="2" t="inlineStr">
        <is>
          <t>Carrot VitaShake (coins/unit)</t>
        </is>
      </c>
      <c r="B6" s="11" t="n">
        <v>5</v>
      </c>
      <c r="C6" s="14" t="inlineStr"/>
    </row>
    <row r="7">
      <c r="A7" s="2" t="inlineStr">
        <is>
          <t>Apple Yogurt (coins/unit)</t>
        </is>
      </c>
      <c r="B7" s="11" t="n">
        <v>25</v>
      </c>
      <c r="C7" s="14" t="inlineStr"/>
    </row>
    <row r="8">
      <c r="A8" s="2" t="inlineStr">
        <is>
          <t>Mushroom Potion (coins/unit)</t>
        </is>
      </c>
      <c r="B8" s="11" t="n">
        <v>100</v>
      </c>
      <c r="C8" s="14" t="inlineStr"/>
    </row>
    <row r="9">
      <c r="A9" s="2" t="inlineStr">
        <is>
          <t>MaxExhaust (typical)</t>
        </is>
      </c>
      <c r="B9" t="n">
        <v>27</v>
      </c>
      <c r="C9" s="14" t="inlineStr"/>
    </row>
    <row r="10">
      <c r="A10" s="2" t="inlineStr">
        <is>
          <t>Preferred milk multiplier</t>
        </is>
      </c>
      <c r="B10" t="n">
        <v>3</v>
      </c>
      <c r="C10" s="14" t="inlineStr">
        <is>
          <t>3x milk when food matches cow preference</t>
        </is>
      </c>
    </row>
    <row r="11">
      <c r="A11" s="2" t="inlineStr">
        <is>
          <t>Non-preferred milk multiplier</t>
        </is>
      </c>
      <c r="B11" t="n">
        <v>1</v>
      </c>
      <c r="C11" s="14" t="inlineStr">
        <is>
          <t>1x milk otherwise</t>
        </is>
      </c>
    </row>
    <row r="12">
      <c r="A12" s="2" t="inlineStr">
        <is>
          <t>Refresh time per full cycle (min)</t>
        </is>
      </c>
      <c r="B12" t="n">
        <v>3.75</v>
      </c>
      <c r="C12" s="14">
        <f>27 exhaust × 500 ticks / 60 tps / 60</f>
        <v/>
      </c>
    </row>
    <row r="13">
      <c r="A13" s="2" t="inlineStr"/>
      <c r="C13" s="14" t="inlineStr"/>
    </row>
    <row r="14">
      <c r="A14" s="2" t="inlineStr">
        <is>
          <t>EFFICIENCY FACTORS</t>
        </is>
      </c>
      <c r="C14" s="14" t="inlineStr"/>
    </row>
    <row r="15">
      <c r="A15" s="2" t="inlineStr">
        <is>
          <t>Milk efficiency (per-phase, see below)</t>
        </is>
      </c>
      <c r="B15" s="11" t="inlineStr">
        <is>
          <t>varies</t>
        </is>
      </c>
      <c r="C15" s="14" t="inlineStr">
        <is>
          <t>Set per-row in progression table</t>
        </is>
      </c>
    </row>
    <row r="16">
      <c r="A16" s="2" t="inlineStr">
        <is>
          <t>Sell click % of total time</t>
        </is>
      </c>
      <c r="B16" s="11" t="n">
        <v>0.1</v>
      </c>
      <c r="C16" s="14" t="inlineStr">
        <is>
          <t>Each milk unit needs 1 sell click</t>
        </is>
      </c>
    </row>
    <row r="17">
      <c r="A17" s="2" t="inlineStr">
        <is>
          <t>% cows with preferred food</t>
        </is>
      </c>
      <c r="B17" s="11" t="n">
        <v>0.5</v>
      </c>
      <c r="C17" s="14" t="inlineStr">
        <is>
          <t>Only ~half of cows prefer current era food</t>
        </is>
      </c>
    </row>
    <row r="18">
      <c r="A18" s="2" t="inlineStr">
        <is>
          <t>Food gather overhead factor</t>
        </is>
      </c>
      <c r="B18" s="11" t="n">
        <v>0.8</v>
      </c>
      <c r="C18" s="14" t="inlineStr">
        <is>
          <t>20% time lost to gathering food</t>
        </is>
      </c>
    </row>
    <row r="19">
      <c r="A19" s="2" t="inlineStr">
        <is>
          <t>Assistant speedup (exhaust/click)</t>
        </is>
      </c>
      <c r="B19" s="11" t="n">
        <v>5</v>
      </c>
      <c r="C19" s="14" t="inlineStr">
        <is>
          <t>5x exhaust per milk click with assistant</t>
        </is>
      </c>
    </row>
    <row r="20">
      <c r="A20" s="2" t="inlineStr">
        <is>
          <t>Has assistant (0/1)</t>
        </is>
      </c>
      <c r="B20" s="11" t="n">
        <v>1</v>
      </c>
      <c r="C20" s="14" t="inlineStr"/>
    </row>
    <row r="23">
      <c r="A23" s="10" t="inlineStr">
        <is>
          <t>REALISTIC INCOME PER COW PER MINUTE</t>
        </is>
      </c>
    </row>
    <row r="24">
      <c r="A24" s="3" t="inlineStr">
        <is>
          <t>Food Tier</t>
        </is>
      </c>
      <c r="B24" s="3" t="inlineStr">
        <is>
          <t>Coin Value</t>
        </is>
      </c>
      <c r="C24" s="3" t="inlineStr">
        <is>
          <t>Milk/Exhaust
(weighted avg)</t>
        </is>
      </c>
      <c r="D24" s="3" t="inlineStr">
        <is>
          <t>Coins/Cycle/Cow
(weighted)</t>
        </is>
      </c>
      <c r="E24" s="3" t="inlineStr">
        <is>
          <t>Cycles/Min
(cow refresh)</t>
        </is>
      </c>
      <c r="F24" s="3" t="inlineStr">
        <is>
          <t>Raw Coins/Min/Cow</t>
        </is>
      </c>
      <c r="G24" s="3" t="inlineStr">
        <is>
          <t>× Milk Efficiency
× Food Overhead</t>
        </is>
      </c>
      <c r="H24" s="3" t="inlineStr">
        <is>
          <t>Effective
Coins/Min/Cow</t>
        </is>
      </c>
    </row>
    <row r="25">
      <c r="A25" s="6" t="inlineStr">
        <is>
          <t>Grass</t>
        </is>
      </c>
      <c r="B25" s="6">
        <f>B5</f>
        <v/>
      </c>
      <c r="C25" s="6">
        <f>B$17*B$10+(1-B$17)*B$11</f>
        <v/>
      </c>
      <c r="D25" s="6">
        <f>B25*C25*B$9</f>
        <v/>
      </c>
      <c r="E25" s="6">
        <f>1/B$12</f>
        <v/>
      </c>
      <c r="F25" s="6">
        <f>D25*E25</f>
        <v/>
      </c>
      <c r="G25" s="6">
        <f>B$15*B$18</f>
        <v/>
      </c>
      <c r="H25" s="6">
        <f>F25*G25</f>
        <v/>
      </c>
    </row>
    <row r="26">
      <c r="A26" s="7" t="inlineStr">
        <is>
          <t>Carrot</t>
        </is>
      </c>
      <c r="B26" s="7">
        <f>B6</f>
        <v/>
      </c>
      <c r="C26" s="7">
        <f>B$17*B$10+(1-B$17)*B$11</f>
        <v/>
      </c>
      <c r="D26" s="7">
        <f>B26*C26*B$9</f>
        <v/>
      </c>
      <c r="E26" s="7">
        <f>1/B$12</f>
        <v/>
      </c>
      <c r="F26" s="7">
        <f>D26*E26</f>
        <v/>
      </c>
      <c r="G26" s="7">
        <f>B$15*B$18</f>
        <v/>
      </c>
      <c r="H26" s="7">
        <f>F26*G26</f>
        <v/>
      </c>
    </row>
    <row r="27">
      <c r="A27" s="8" t="inlineStr">
        <is>
          <t>Apple</t>
        </is>
      </c>
      <c r="B27" s="8">
        <f>B7</f>
        <v/>
      </c>
      <c r="C27" s="8">
        <f>B$17*B$10+(1-B$17)*B$11</f>
        <v/>
      </c>
      <c r="D27" s="8">
        <f>B27*C27*B$9</f>
        <v/>
      </c>
      <c r="E27" s="8">
        <f>1/B$12</f>
        <v/>
      </c>
      <c r="F27" s="8">
        <f>D27*E27</f>
        <v/>
      </c>
      <c r="G27" s="8">
        <f>B$15*B$18</f>
        <v/>
      </c>
      <c r="H27" s="8">
        <f>F27*G27</f>
        <v/>
      </c>
    </row>
    <row r="28">
      <c r="A28" s="9" t="inlineStr">
        <is>
          <t>Mushroom</t>
        </is>
      </c>
      <c r="B28" s="9">
        <f>B8</f>
        <v/>
      </c>
      <c r="C28" s="9">
        <f>B$17*B$10+(1-B$17)*B$11</f>
        <v/>
      </c>
      <c r="D28" s="9">
        <f>B28*C28*B$9</f>
        <v/>
      </c>
      <c r="E28" s="9">
        <f>1/B$12</f>
        <v/>
      </c>
      <c r="F28" s="9">
        <f>D28*E28</f>
        <v/>
      </c>
      <c r="G28" s="9">
        <f>B$15*B$18</f>
        <v/>
      </c>
      <c r="H28" s="9">
        <f>F28*G28</f>
        <v/>
      </c>
    </row>
    <row r="31">
      <c r="A31" s="10" t="inlineStr">
        <is>
          <t>REALISTIC ERA PROGRESSION</t>
        </is>
      </c>
    </row>
    <row r="32">
      <c r="A32" s="5" t="inlineStr">
        <is>
          <t>Each phase has its own efficiency — early game is fast, late game slower</t>
        </is>
      </c>
    </row>
    <row r="33">
      <c r="A33" s="3" t="inlineStr">
        <is>
          <t>Phase</t>
        </is>
      </c>
      <c r="B33" s="3" t="inlineStr">
        <is>
          <t>Food Tier</t>
        </is>
      </c>
      <c r="C33" s="3" t="inlineStr">
        <is>
          <t># Cows</t>
        </is>
      </c>
      <c r="D33" s="3" t="inlineStr">
        <is>
          <t>Raw Coins/Min/Cow
(from above)</t>
        </is>
      </c>
      <c r="E33" s="3" t="inlineStr">
        <is>
          <t>Efficiency
(tunable!)</t>
        </is>
      </c>
      <c r="F33" s="3" t="inlineStr">
        <is>
          <t>Eff Coins/Min/Cow</t>
        </is>
      </c>
      <c r="G33" s="3" t="inlineStr">
        <is>
          <t>Total Eff
Coins/Min</t>
        </is>
      </c>
      <c r="H33" s="3" t="inlineStr">
        <is>
          <t>Target Cost</t>
        </is>
      </c>
      <c r="I33" s="3" t="inlineStr">
        <is>
          <t>What to Buy</t>
        </is>
      </c>
      <c r="J33" s="3" t="inlineStr">
        <is>
          <t>Minutes
to Earn</t>
        </is>
      </c>
      <c r="K33" s="3" t="inlineStr">
        <is>
          <t>Cumul Min</t>
        </is>
      </c>
    </row>
    <row r="34">
      <c r="A34" s="15" t="inlineStr">
        <is>
          <t>Build grass era (d1-2)</t>
        </is>
      </c>
      <c r="B34" s="15" t="inlineStr">
        <is>
          <t>Grass</t>
        </is>
      </c>
      <c r="C34" s="15" t="n">
        <v>2</v>
      </c>
      <c r="D34" s="15">
        <f>$F$25</f>
        <v/>
      </c>
      <c r="E34" s="16" t="n">
        <v>0.35</v>
      </c>
      <c r="F34" s="15">
        <f>D34*E34</f>
        <v/>
      </c>
      <c r="G34" s="15">
        <f>F34*C34</f>
        <v/>
      </c>
      <c r="H34" s="15">
        <f>4*10+3*20</f>
        <v/>
      </c>
      <c r="I34" s="15" t="inlineStr">
        <is>
          <t>4×d1 + 3×d2</t>
        </is>
      </c>
      <c r="J34" s="15">
        <f>H34/G34</f>
        <v/>
      </c>
      <c r="K34" s="15">
        <f>J34</f>
        <v/>
      </c>
    </row>
    <row r="35">
      <c r="A35" s="15" t="inlineStr">
        <is>
          <t>Buy carrot farm</t>
        </is>
      </c>
      <c r="B35" s="15" t="inlineStr">
        <is>
          <t>Grass</t>
        </is>
      </c>
      <c r="C35" s="15" t="n">
        <v>2</v>
      </c>
      <c r="D35" s="15">
        <f>$F$25</f>
        <v/>
      </c>
      <c r="E35" s="16" t="n">
        <v>0.35</v>
      </c>
      <c r="F35" s="15">
        <f>D35*E35</f>
        <v/>
      </c>
      <c r="G35" s="15">
        <f>F35*C35</f>
        <v/>
      </c>
      <c r="H35" s="15">
        <f>90</f>
        <v/>
      </c>
      <c r="I35" s="15" t="inlineStr">
        <is>
          <t>CarrotFarm @ d3</t>
        </is>
      </c>
      <c r="J35" s="15">
        <f>H35/G35</f>
        <v/>
      </c>
      <c r="K35" s="15">
        <f>K34+J35</f>
        <v/>
      </c>
    </row>
    <row r="36">
      <c r="A36" s="17" t="inlineStr">
        <is>
          <t>Build carrot era (d3)</t>
        </is>
      </c>
      <c r="B36" s="17" t="inlineStr">
        <is>
          <t>Carrot</t>
        </is>
      </c>
      <c r="C36" s="17" t="n">
        <v>2</v>
      </c>
      <c r="D36" s="17">
        <f>$F$26</f>
        <v/>
      </c>
      <c r="E36" s="16" t="n">
        <v>0.2</v>
      </c>
      <c r="F36" s="17">
        <f>D36*E36</f>
        <v/>
      </c>
      <c r="G36" s="17">
        <f>F36*C36</f>
        <v/>
      </c>
      <c r="H36" s="17">
        <f>2*90</f>
        <v/>
      </c>
      <c r="I36" s="17" t="inlineStr">
        <is>
          <t>2 houses @ d3</t>
        </is>
      </c>
      <c r="J36" s="17">
        <f>H36/G36</f>
        <v/>
      </c>
      <c r="K36" s="17">
        <f>K35+J36</f>
        <v/>
      </c>
    </row>
    <row r="37">
      <c r="A37" s="17" t="inlineStr">
        <is>
          <t>Buy apple farm</t>
        </is>
      </c>
      <c r="B37" s="17" t="inlineStr">
        <is>
          <t>Carrot</t>
        </is>
      </c>
      <c r="C37" s="17" t="n">
        <v>3</v>
      </c>
      <c r="D37" s="17">
        <f>$F$26</f>
        <v/>
      </c>
      <c r="E37" s="16" t="n">
        <v>0.18</v>
      </c>
      <c r="F37" s="17">
        <f>D37*E37</f>
        <v/>
      </c>
      <c r="G37" s="17">
        <f>F37*C37</f>
        <v/>
      </c>
      <c r="H37" s="17">
        <f>200</f>
        <v/>
      </c>
      <c r="I37" s="17" t="inlineStr">
        <is>
          <t>AppleOrchard @ d4</t>
        </is>
      </c>
      <c r="J37" s="17">
        <f>H37/G37</f>
        <v/>
      </c>
      <c r="K37" s="17">
        <f>K36+J37</f>
        <v/>
      </c>
    </row>
    <row r="38">
      <c r="A38" s="18" t="inlineStr">
        <is>
          <t>Build apple era (d4)</t>
        </is>
      </c>
      <c r="B38" s="18" t="inlineStr">
        <is>
          <t>Apple</t>
        </is>
      </c>
      <c r="C38" s="18" t="n">
        <v>3</v>
      </c>
      <c r="D38" s="18">
        <f>$F$27</f>
        <v/>
      </c>
      <c r="E38" s="16" t="n">
        <v>0.15</v>
      </c>
      <c r="F38" s="18">
        <f>D38*E38</f>
        <v/>
      </c>
      <c r="G38" s="18">
        <f>F38*C38</f>
        <v/>
      </c>
      <c r="H38" s="18">
        <f>2*200</f>
        <v/>
      </c>
      <c r="I38" s="18" t="inlineStr">
        <is>
          <t>2 houses @ d4</t>
        </is>
      </c>
      <c r="J38" s="18">
        <f>H38/G38</f>
        <v/>
      </c>
      <c r="K38" s="18">
        <f>K37+J38</f>
        <v/>
      </c>
    </row>
    <row r="39">
      <c r="A39" s="18" t="inlineStr">
        <is>
          <t>Buy mushroom farm</t>
        </is>
      </c>
      <c r="B39" s="18" t="inlineStr">
        <is>
          <t>Apple</t>
        </is>
      </c>
      <c r="C39" s="18" t="n">
        <v>4</v>
      </c>
      <c r="D39" s="18">
        <f>$F$27</f>
        <v/>
      </c>
      <c r="E39" s="16" t="n">
        <v>0.13</v>
      </c>
      <c r="F39" s="18">
        <f>D39*E39</f>
        <v/>
      </c>
      <c r="G39" s="18">
        <f>F39*C39</f>
        <v/>
      </c>
      <c r="H39" s="18">
        <f>500</f>
        <v/>
      </c>
      <c r="I39" s="18" t="inlineStr">
        <is>
          <t>MushroomCave @ d5</t>
        </is>
      </c>
      <c r="J39" s="18">
        <f>H39/G39</f>
        <v/>
      </c>
      <c r="K39" s="18">
        <f>K38+J39</f>
        <v/>
      </c>
    </row>
    <row r="40">
      <c r="A40" s="19" t="inlineStr">
        <is>
          <t>Build mushroom (d5-6)</t>
        </is>
      </c>
      <c r="B40" s="19" t="inlineStr">
        <is>
          <t>Mushroom</t>
        </is>
      </c>
      <c r="C40" s="19" t="n">
        <v>4</v>
      </c>
      <c r="D40" s="19">
        <f>$F$28</f>
        <v/>
      </c>
      <c r="E40" s="16" t="n">
        <v>0.12</v>
      </c>
      <c r="F40" s="19">
        <f>D40*E40</f>
        <v/>
      </c>
      <c r="G40" s="19">
        <f>F40*C40</f>
        <v/>
      </c>
      <c r="H40" s="19">
        <f>2*500+600</f>
        <v/>
      </c>
      <c r="I40" s="19" t="inlineStr">
        <is>
          <t>d5+d6 houses</t>
        </is>
      </c>
      <c r="J40" s="19">
        <f>H40/G40</f>
        <v/>
      </c>
      <c r="K40" s="19">
        <f>K39+J40</f>
        <v/>
      </c>
    </row>
    <row r="41">
      <c r="A41" s="19" t="inlineStr">
        <is>
          <t>Buy FinalStructure</t>
        </is>
      </c>
      <c r="B41" s="19" t="inlineStr">
        <is>
          <t>Mushroom</t>
        </is>
      </c>
      <c r="C41" s="19" t="n">
        <v>5</v>
      </c>
      <c r="D41" s="19">
        <f>$F$28</f>
        <v/>
      </c>
      <c r="E41" s="16" t="n">
        <v>0.12</v>
      </c>
      <c r="F41" s="19">
        <f>D41*E41</f>
        <v/>
      </c>
      <c r="G41" s="19">
        <f>F41*C41</f>
        <v/>
      </c>
      <c r="H41" s="19">
        <f>3500</f>
        <v/>
      </c>
      <c r="I41" s="19" t="inlineStr">
        <is>
          <t>FS @ d7</t>
        </is>
      </c>
      <c r="J41" s="19">
        <f>H41/G41</f>
        <v/>
      </c>
      <c r="K41" s="19">
        <f>K40+J41</f>
        <v/>
      </c>
    </row>
    <row r="42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</row>
    <row r="43">
      <c r="A43" s="21" t="inlineStr">
        <is>
          <t>TOTAL TIME TO WIN</t>
        </is>
      </c>
      <c r="B43" s="20" t="n"/>
      <c r="C43" s="20" t="n"/>
      <c r="D43" s="20" t="n"/>
      <c r="E43" s="20" t="n"/>
      <c r="F43" s="20" t="n"/>
      <c r="G43" s="20" t="n"/>
      <c r="H43" s="20" t="n"/>
      <c r="I43" s="20">
        <f>I41</f>
        <v/>
      </c>
      <c r="J43" s="20" t="n"/>
      <c r="K43" s="21">
        <f>K41</f>
        <v/>
      </c>
    </row>
    <row r="44">
      <c r="A44" s="22" t="inlineStr">
        <is>
          <t>Target: ~20 min (selective+helpers)</t>
        </is>
      </c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</row>
    <row r="45">
      <c r="A45" s="23" t="inlineStr">
        <is>
          <t>Tune YELLOW cells (milk values + efficiency) to balance!</t>
        </is>
      </c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</row>
    <row r="47">
      <c r="A47" s="24" t="inlineStr">
        <is>
          <t>SIM REFERENCE POINTS:</t>
        </is>
      </c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</row>
    <row r="48">
      <c r="A48" s="20" t="inlineStr">
        <is>
          <t>Carrot era reached: ~5 min (sim) → grass phases should total ~5 min</t>
        </is>
      </c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</row>
    <row r="49">
      <c r="A49" s="20" t="inlineStr">
        <is>
          <t>Apple era reached: ~21 min (breed0 only) or NEVER (breeding configs)</t>
        </is>
      </c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</row>
    <row r="50">
      <c r="A50" t="inlineStr">
        <is>
          <t>Mushroom era: NEVER reached in 30 min</t>
        </is>
      </c>
    </row>
    <row r="51">
      <c r="A51" t="inlineStr">
        <is>
          <t>Click%: 29-48% across configs (higher early, lower late)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2026-04-02T07:12:09Z</dcterms:created>
  <dcterms:modified xsi:type="dcterms:W3CDTF">2026-04-02T07:18:52Z</dcterms:modified>
</cp:coreProperties>
</file>